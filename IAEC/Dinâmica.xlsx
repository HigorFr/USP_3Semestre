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gor\Desktop\"/>
    </mc:Choice>
  </mc:AlternateContent>
  <xr:revisionPtr revIDLastSave="0" documentId="13_ncr:1_{FFE4C66E-B007-4E86-BCC2-285E93D302ED}" xr6:coauthVersionLast="47" xr6:coauthVersionMax="47" xr10:uidLastSave="{00000000-0000-0000-0000-000000000000}"/>
  <bookViews>
    <workbookView xWindow="-120" yWindow="480" windowWidth="29040" windowHeight="15840" xr2:uid="{F9888E93-6346-4BDC-BDBA-8A38D34CF55F}"/>
  </bookViews>
  <sheets>
    <sheet name="Leilão" sheetId="3" r:id="rId1"/>
    <sheet name="Resultado" sheetId="4" r:id="rId2"/>
    <sheet name="Valore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4" l="1"/>
  <c r="C6" i="4"/>
  <c r="D6" i="4"/>
  <c r="E6" i="4"/>
  <c r="F6" i="4"/>
  <c r="G6" i="4"/>
  <c r="H6" i="4"/>
  <c r="B7" i="4"/>
  <c r="C7" i="4"/>
  <c r="D7" i="4"/>
  <c r="E7" i="4"/>
  <c r="F7" i="4"/>
  <c r="G7" i="4"/>
  <c r="H7" i="4"/>
  <c r="B8" i="4"/>
  <c r="C8" i="4"/>
  <c r="D8" i="4"/>
  <c r="E8" i="4"/>
  <c r="F8" i="4"/>
  <c r="G8" i="4"/>
  <c r="H8" i="4"/>
  <c r="B9" i="4"/>
  <c r="C9" i="4"/>
  <c r="D9" i="4"/>
  <c r="E9" i="4"/>
  <c r="F9" i="4"/>
  <c r="G9" i="4"/>
  <c r="H9" i="4"/>
  <c r="B10" i="4"/>
  <c r="C10" i="4"/>
  <c r="D10" i="4"/>
  <c r="E10" i="4"/>
  <c r="F10" i="4"/>
  <c r="G10" i="4"/>
  <c r="H10" i="4"/>
  <c r="B11" i="4"/>
  <c r="C11" i="4"/>
  <c r="D11" i="4"/>
  <c r="E11" i="4"/>
  <c r="F11" i="4"/>
  <c r="G11" i="4"/>
  <c r="H11" i="4"/>
  <c r="B12" i="4"/>
  <c r="C12" i="4"/>
  <c r="D12" i="4"/>
  <c r="E12" i="4"/>
  <c r="F12" i="4"/>
  <c r="G12" i="4"/>
  <c r="H12" i="4"/>
  <c r="B13" i="4"/>
  <c r="C13" i="4"/>
  <c r="D13" i="4"/>
  <c r="E13" i="4"/>
  <c r="F13" i="4"/>
  <c r="G13" i="4"/>
  <c r="H13" i="4"/>
  <c r="B14" i="4"/>
  <c r="C14" i="4"/>
  <c r="D14" i="4"/>
  <c r="E14" i="4"/>
  <c r="F14" i="4"/>
  <c r="G14" i="4"/>
  <c r="H14" i="4"/>
  <c r="B15" i="4"/>
  <c r="C15" i="4"/>
  <c r="D15" i="4"/>
  <c r="E15" i="4"/>
  <c r="F15" i="4"/>
  <c r="G15" i="4"/>
  <c r="H15" i="4"/>
  <c r="B16" i="4"/>
  <c r="C16" i="4"/>
  <c r="D16" i="4"/>
  <c r="E16" i="4"/>
  <c r="F16" i="4"/>
  <c r="G16" i="4"/>
  <c r="H16" i="4"/>
  <c r="B17" i="4"/>
  <c r="C17" i="4"/>
  <c r="D17" i="4"/>
  <c r="E17" i="4"/>
  <c r="F17" i="4"/>
  <c r="G17" i="4"/>
  <c r="H17" i="4"/>
  <c r="B18" i="4"/>
  <c r="C18" i="4"/>
  <c r="D18" i="4"/>
  <c r="E18" i="4"/>
  <c r="F18" i="4"/>
  <c r="G18" i="4"/>
  <c r="H18" i="4"/>
  <c r="C5" i="4"/>
  <c r="D5" i="4"/>
  <c r="E5" i="4"/>
  <c r="F5" i="4"/>
  <c r="G5" i="4"/>
  <c r="H5" i="4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5" i="3"/>
  <c r="C4" i="4"/>
  <c r="C20" i="4" s="1"/>
  <c r="D4" i="4"/>
  <c r="D20" i="4" s="1"/>
  <c r="E4" i="4"/>
  <c r="E20" i="4" s="1"/>
  <c r="F4" i="4"/>
  <c r="F20" i="4" s="1"/>
  <c r="G4" i="4"/>
  <c r="G20" i="4" s="1"/>
  <c r="H4" i="4"/>
  <c r="H20" i="4" s="1"/>
  <c r="B4" i="4"/>
  <c r="B20" i="4" s="1"/>
  <c r="C20" i="3"/>
  <c r="D20" i="3"/>
  <c r="E20" i="3"/>
  <c r="F20" i="3"/>
  <c r="G20" i="3"/>
  <c r="H20" i="3"/>
  <c r="B20" i="3"/>
  <c r="B5" i="4"/>
  <c r="H21" i="4" l="1"/>
  <c r="C21" i="4"/>
  <c r="F21" i="4"/>
  <c r="E21" i="4"/>
  <c r="D21" i="4"/>
  <c r="G21" i="4"/>
  <c r="F21" i="3"/>
  <c r="B21" i="3"/>
  <c r="H21" i="3"/>
  <c r="G21" i="3"/>
  <c r="C21" i="3"/>
  <c r="B21" i="4"/>
  <c r="E21" i="3"/>
  <c r="D21" i="3"/>
  <c r="F43" i="4" l="1"/>
</calcChain>
</file>

<file path=xl/sharedStrings.xml><?xml version="1.0" encoding="utf-8"?>
<sst xmlns="http://schemas.openxmlformats.org/spreadsheetml/2006/main" count="34" uniqueCount="33">
  <si>
    <t>Item</t>
  </si>
  <si>
    <t>Valor (R$)</t>
  </si>
  <si>
    <t>Caixa de som JBL grande BoomBox</t>
  </si>
  <si>
    <t>iPhone 16 Pro Max</t>
  </si>
  <si>
    <t>Óculos Rayban masculino original</t>
  </si>
  <si>
    <t>Bolsa de Grife Michael Kors</t>
  </si>
  <si>
    <t>Notebook MacBook Air M2 (2022)</t>
  </si>
  <si>
    <t>Moto Honda CG 160</t>
  </si>
  <si>
    <t>1 onça de ouro puro (31g)</t>
  </si>
  <si>
    <t>Anel de ouro 18k com diamante</t>
  </si>
  <si>
    <t>Piano Yamaha P-125a</t>
  </si>
  <si>
    <t>DJI Mini 3 Pro</t>
  </si>
  <si>
    <t>Placa de vídeo RTX 4090</t>
  </si>
  <si>
    <t>PlayStation 5 Pro</t>
  </si>
  <si>
    <t>G1</t>
  </si>
  <si>
    <t>G2</t>
  </si>
  <si>
    <t>G3</t>
  </si>
  <si>
    <t>G4</t>
  </si>
  <si>
    <t>G5</t>
  </si>
  <si>
    <t>G6</t>
  </si>
  <si>
    <t>Máquina de café espresso profissional</t>
  </si>
  <si>
    <t>G7</t>
  </si>
  <si>
    <t>Valor Inicial</t>
  </si>
  <si>
    <t>Produto</t>
  </si>
  <si>
    <t>Valor Real Total</t>
  </si>
  <si>
    <t>Média Pontos</t>
  </si>
  <si>
    <t>Vencedor:</t>
  </si>
  <si>
    <t>Pontos Restantes</t>
  </si>
  <si>
    <t>Valor da Proxima Rodada</t>
  </si>
  <si>
    <t>Retorno</t>
  </si>
  <si>
    <t>200 Ações da Apple APPL</t>
  </si>
  <si>
    <t>Leilão Decrescente Inicio</t>
  </si>
  <si>
    <t>Leilão Crescente Inicio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</si>
</sst>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R$&quot;\ #,##0;[Red]\-&quot;R$&quot;\ #,##0"/>
    <numFmt numFmtId="44" formatCode="_-&quot;R$&quot;\ * #,##0.00_-;\-&quot;R$&quot;\ * #,##0.00_-;_-&quot;R$&quot;\ * &quot;-&quot;??_-;_-@_-"/>
    <numFmt numFmtId="164" formatCode="_-&quot;R$&quot;\ * #,##0_-;\-&quot;R$&quot;\ * #,##0_-;_-&quot;R$&quot;\ * &quot;-&quot;??_-;_-@_-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rgb="FF00B050"/>
      <name val="Calibri"/>
      <family val="2"/>
      <scheme val="minor"/>
    </font>
    <font>
      <b/>
      <sz val="28"/>
      <color theme="7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vertical="center" wrapText="1"/>
    </xf>
    <xf numFmtId="6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165" fontId="0" fillId="0" borderId="10" xfId="0" applyNumberFormat="1" applyBorder="1"/>
    <xf numFmtId="165" fontId="0" fillId="0" borderId="11" xfId="0" applyNumberFormat="1" applyBorder="1"/>
    <xf numFmtId="165" fontId="0" fillId="0" borderId="12" xfId="0" applyNumberFormat="1" applyBorder="1"/>
    <xf numFmtId="0" fontId="0" fillId="0" borderId="22" xfId="0" applyBorder="1"/>
    <xf numFmtId="9" fontId="0" fillId="0" borderId="22" xfId="0" applyNumberFormat="1" applyBorder="1"/>
    <xf numFmtId="0" fontId="0" fillId="0" borderId="3" xfId="0" applyBorder="1" applyAlignment="1">
      <alignment vertical="center" wrapText="1"/>
    </xf>
    <xf numFmtId="0" fontId="0" fillId="0" borderId="23" xfId="0" applyBorder="1"/>
    <xf numFmtId="0" fontId="0" fillId="0" borderId="5" xfId="0" applyBorder="1" applyAlignment="1">
      <alignment vertical="center" wrapText="1"/>
    </xf>
    <xf numFmtId="3" fontId="0" fillId="0" borderId="5" xfId="0" applyNumberFormat="1" applyBorder="1" applyAlignment="1">
      <alignment vertical="center" wrapText="1"/>
    </xf>
    <xf numFmtId="3" fontId="0" fillId="0" borderId="7" xfId="0" applyNumberFormat="1" applyBorder="1" applyAlignment="1">
      <alignment vertical="center" wrapText="1"/>
    </xf>
    <xf numFmtId="1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4" fontId="5" fillId="0" borderId="0" xfId="1" applyNumberFormat="1" applyFont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A01EC-8B3A-41DF-ACFE-457E573CB57C}">
  <dimension ref="A3:L22"/>
  <sheetViews>
    <sheetView tabSelected="1" workbookViewId="0">
      <selection activeCell="B5" sqref="B5"/>
    </sheetView>
  </sheetViews>
  <sheetFormatPr defaultRowHeight="15" x14ac:dyDescent="0.25"/>
  <cols>
    <col min="1" max="1" width="13.28515625" bestFit="1" customWidth="1"/>
    <col min="2" max="8" width="10.85546875" customWidth="1"/>
    <col min="9" max="9" width="23.42578125" bestFit="1" customWidth="1"/>
    <col min="11" max="11" width="11.42578125" bestFit="1" customWidth="1"/>
  </cols>
  <sheetData>
    <row r="3" spans="1:12" x14ac:dyDescent="0.25">
      <c r="K3" s="26" t="s">
        <v>29</v>
      </c>
      <c r="L3" s="27">
        <v>0.1</v>
      </c>
    </row>
    <row r="4" spans="1:12" x14ac:dyDescent="0.25">
      <c r="A4" s="17" t="s">
        <v>23</v>
      </c>
      <c r="B4" s="14" t="s">
        <v>14</v>
      </c>
      <c r="C4" s="15" t="s">
        <v>15</v>
      </c>
      <c r="D4" s="15" t="s">
        <v>16</v>
      </c>
      <c r="E4" s="15" t="s">
        <v>17</v>
      </c>
      <c r="F4" s="15" t="s">
        <v>18</v>
      </c>
      <c r="G4" s="15" t="s">
        <v>19</v>
      </c>
      <c r="H4" s="16" t="s">
        <v>21</v>
      </c>
      <c r="I4" s="6" t="s">
        <v>28</v>
      </c>
      <c r="K4" s="26" t="s">
        <v>22</v>
      </c>
      <c r="L4" s="26">
        <v>9000</v>
      </c>
    </row>
    <row r="5" spans="1:12" x14ac:dyDescent="0.25">
      <c r="A5" s="18">
        <v>1</v>
      </c>
      <c r="B5" s="28"/>
      <c r="C5" s="29"/>
      <c r="D5" s="29"/>
      <c r="E5" s="29"/>
      <c r="F5" s="29"/>
      <c r="G5" s="29"/>
      <c r="H5" s="6"/>
      <c r="I5" s="23">
        <f>IFERROR(LARGE(B5:H5,1)*$L$3,0)</f>
        <v>0</v>
      </c>
    </row>
    <row r="6" spans="1:12" x14ac:dyDescent="0.25">
      <c r="A6" s="18">
        <v>2</v>
      </c>
      <c r="B6" s="7"/>
      <c r="C6" s="3"/>
      <c r="H6" s="8"/>
      <c r="I6" s="24">
        <f t="shared" ref="I6:I18" si="0">IFERROR(LARGE(B6:H6,1)*$L$3,0)</f>
        <v>0</v>
      </c>
    </row>
    <row r="7" spans="1:12" x14ac:dyDescent="0.25">
      <c r="A7" s="18">
        <v>3</v>
      </c>
      <c r="B7" s="7"/>
      <c r="D7" s="3"/>
      <c r="H7" s="8"/>
      <c r="I7" s="24">
        <f t="shared" si="0"/>
        <v>0</v>
      </c>
    </row>
    <row r="8" spans="1:12" x14ac:dyDescent="0.25">
      <c r="A8" s="18">
        <v>4</v>
      </c>
      <c r="B8" s="7"/>
      <c r="E8" s="1"/>
      <c r="H8" s="8"/>
      <c r="I8" s="24">
        <f t="shared" si="0"/>
        <v>0</v>
      </c>
    </row>
    <row r="9" spans="1:12" x14ac:dyDescent="0.25">
      <c r="A9" s="18">
        <v>5</v>
      </c>
      <c r="B9" s="30"/>
      <c r="H9" s="8"/>
      <c r="I9" s="24">
        <f t="shared" si="0"/>
        <v>0</v>
      </c>
    </row>
    <row r="10" spans="1:12" x14ac:dyDescent="0.25">
      <c r="A10" s="18">
        <v>6</v>
      </c>
      <c r="B10" s="31"/>
      <c r="H10" s="8"/>
      <c r="I10" s="24">
        <f t="shared" si="0"/>
        <v>0</v>
      </c>
    </row>
    <row r="11" spans="1:12" x14ac:dyDescent="0.25">
      <c r="A11" s="18">
        <v>7</v>
      </c>
      <c r="B11" s="31"/>
      <c r="H11" s="8"/>
      <c r="I11" s="24">
        <f t="shared" si="0"/>
        <v>0</v>
      </c>
    </row>
    <row r="12" spans="1:12" x14ac:dyDescent="0.25">
      <c r="A12" s="18">
        <v>8</v>
      </c>
      <c r="B12" s="31"/>
      <c r="H12" s="8"/>
      <c r="I12" s="24">
        <f t="shared" si="0"/>
        <v>0</v>
      </c>
    </row>
    <row r="13" spans="1:12" x14ac:dyDescent="0.25">
      <c r="A13" s="18">
        <v>9</v>
      </c>
      <c r="B13" s="31"/>
      <c r="C13" s="3"/>
      <c r="H13" s="8"/>
      <c r="I13" s="24">
        <f t="shared" si="0"/>
        <v>0</v>
      </c>
    </row>
    <row r="14" spans="1:12" x14ac:dyDescent="0.25">
      <c r="A14" s="18">
        <v>10</v>
      </c>
      <c r="B14" s="31"/>
      <c r="H14" s="8"/>
      <c r="I14" s="24">
        <f t="shared" si="0"/>
        <v>0</v>
      </c>
    </row>
    <row r="15" spans="1:12" x14ac:dyDescent="0.25">
      <c r="A15" s="18">
        <v>11</v>
      </c>
      <c r="B15" s="31"/>
      <c r="H15" s="8"/>
      <c r="I15" s="24">
        <f t="shared" si="0"/>
        <v>0</v>
      </c>
    </row>
    <row r="16" spans="1:12" x14ac:dyDescent="0.25">
      <c r="A16" s="18">
        <v>12</v>
      </c>
      <c r="B16" s="31"/>
      <c r="H16" s="8"/>
      <c r="I16" s="24">
        <f t="shared" si="0"/>
        <v>0</v>
      </c>
    </row>
    <row r="17" spans="1:9" x14ac:dyDescent="0.25">
      <c r="A17" s="18">
        <v>13</v>
      </c>
      <c r="B17" s="31"/>
      <c r="H17" s="8"/>
      <c r="I17" s="24">
        <f t="shared" si="0"/>
        <v>0</v>
      </c>
    </row>
    <row r="18" spans="1:9" x14ac:dyDescent="0.25">
      <c r="A18" s="19">
        <v>14</v>
      </c>
      <c r="B18" s="32"/>
      <c r="C18" s="10"/>
      <c r="D18" s="10"/>
      <c r="E18" s="10"/>
      <c r="F18" s="10"/>
      <c r="G18" s="10"/>
      <c r="H18" s="11"/>
      <c r="I18" s="25">
        <f t="shared" si="0"/>
        <v>0</v>
      </c>
    </row>
    <row r="20" spans="1:9" x14ac:dyDescent="0.25">
      <c r="B20" s="20" t="str">
        <f>B4</f>
        <v>G1</v>
      </c>
      <c r="C20" s="20" t="str">
        <f t="shared" ref="C20:H20" si="1">C4</f>
        <v>G2</v>
      </c>
      <c r="D20" s="20" t="str">
        <f t="shared" si="1"/>
        <v>G3</v>
      </c>
      <c r="E20" s="20" t="str">
        <f t="shared" si="1"/>
        <v>G4</v>
      </c>
      <c r="F20" s="20" t="str">
        <f t="shared" si="1"/>
        <v>G5</v>
      </c>
      <c r="G20" s="20" t="str">
        <f t="shared" si="1"/>
        <v>G6</v>
      </c>
      <c r="H20" s="20" t="str">
        <f t="shared" si="1"/>
        <v>G7</v>
      </c>
    </row>
    <row r="21" spans="1:9" x14ac:dyDescent="0.25">
      <c r="A21" s="34" t="s">
        <v>27</v>
      </c>
      <c r="B21" s="33">
        <f>$L$4-SUM(B$5:B$18)+SUM($I$5:$I$18)</f>
        <v>9000</v>
      </c>
      <c r="C21" s="33">
        <f t="shared" ref="C21:H21" si="2">$L$4-SUM(C$5:C$18)+SUM($I$5:$I$18)</f>
        <v>9000</v>
      </c>
      <c r="D21" s="33">
        <f t="shared" si="2"/>
        <v>9000</v>
      </c>
      <c r="E21" s="33">
        <f t="shared" si="2"/>
        <v>9000</v>
      </c>
      <c r="F21" s="33">
        <f t="shared" si="2"/>
        <v>9000</v>
      </c>
      <c r="G21" s="33">
        <f t="shared" si="2"/>
        <v>9000</v>
      </c>
      <c r="H21" s="33">
        <f t="shared" si="2"/>
        <v>9000</v>
      </c>
    </row>
    <row r="22" spans="1:9" x14ac:dyDescent="0.25">
      <c r="A22" s="34"/>
      <c r="B22" s="33"/>
      <c r="C22" s="33"/>
      <c r="D22" s="33"/>
      <c r="E22" s="33"/>
      <c r="F22" s="33"/>
      <c r="G22" s="33"/>
      <c r="H22" s="33"/>
    </row>
  </sheetData>
  <mergeCells count="8">
    <mergeCell ref="G21:G22"/>
    <mergeCell ref="H21:H22"/>
    <mergeCell ref="A21:A22"/>
    <mergeCell ref="B21:B22"/>
    <mergeCell ref="C21:C22"/>
    <mergeCell ref="D21:D22"/>
    <mergeCell ref="E21:E22"/>
    <mergeCell ref="F21:F2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458CC-8B9D-4BAD-9F3B-24DF3A7FBF8E}">
  <dimension ref="A4:J45"/>
  <sheetViews>
    <sheetView workbookViewId="0">
      <selection activeCell="G23" sqref="G23"/>
    </sheetView>
  </sheetViews>
  <sheetFormatPr defaultRowHeight="15" x14ac:dyDescent="0.25"/>
  <cols>
    <col min="1" max="1" width="14.85546875" customWidth="1"/>
    <col min="2" max="2" width="13.28515625" bestFit="1" customWidth="1"/>
    <col min="3" max="8" width="12.5703125" customWidth="1"/>
  </cols>
  <sheetData>
    <row r="4" spans="1:8" x14ac:dyDescent="0.25">
      <c r="A4" s="17" t="s">
        <v>23</v>
      </c>
      <c r="B4" s="14" t="str">
        <f>Leilão!B4</f>
        <v>G1</v>
      </c>
      <c r="C4" s="15" t="str">
        <f>Leilão!C4</f>
        <v>G2</v>
      </c>
      <c r="D4" s="15" t="str">
        <f>Leilão!D4</f>
        <v>G3</v>
      </c>
      <c r="E4" s="15" t="str">
        <f>Leilão!E4</f>
        <v>G4</v>
      </c>
      <c r="F4" s="15" t="str">
        <f>Leilão!F4</f>
        <v>G5</v>
      </c>
      <c r="G4" s="15" t="str">
        <f>Leilão!G4</f>
        <v>G6</v>
      </c>
      <c r="H4" s="16" t="str">
        <f>Leilão!H4</f>
        <v>G7</v>
      </c>
    </row>
    <row r="5" spans="1:8" x14ac:dyDescent="0.25">
      <c r="A5" s="18">
        <v>1</v>
      </c>
      <c r="B5" s="7">
        <f>IF(Leilão!B5,Valores!$C2,0)</f>
        <v>0</v>
      </c>
      <c r="C5">
        <f>IF(Leilão!C5,Valores!$C2,0)</f>
        <v>0</v>
      </c>
      <c r="D5">
        <f>IF(Leilão!D5,Valores!$C2,0)</f>
        <v>0</v>
      </c>
      <c r="E5">
        <f>IF(Leilão!E5,Valores!$C2,0)</f>
        <v>0</v>
      </c>
      <c r="F5">
        <f>IF(Leilão!F5,Valores!$C2,0)</f>
        <v>0</v>
      </c>
      <c r="G5">
        <f>IF(Leilão!G5,Valores!$C2,0)</f>
        <v>0</v>
      </c>
      <c r="H5" s="8">
        <f>IF(Leilão!H5,Valores!$C2,0)</f>
        <v>0</v>
      </c>
    </row>
    <row r="6" spans="1:8" x14ac:dyDescent="0.25">
      <c r="A6" s="18">
        <v>2</v>
      </c>
      <c r="B6" s="7">
        <f>IF(Leilão!B6,Valores!$C3,0)</f>
        <v>0</v>
      </c>
      <c r="C6">
        <f>IF(Leilão!C6,Valores!$C3,0)</f>
        <v>0</v>
      </c>
      <c r="D6">
        <f>IF(Leilão!D6,Valores!$C3,0)</f>
        <v>0</v>
      </c>
      <c r="E6">
        <f>IF(Leilão!E6,Valores!$C3,0)</f>
        <v>0</v>
      </c>
      <c r="F6">
        <f>IF(Leilão!F6,Valores!$C3,0)</f>
        <v>0</v>
      </c>
      <c r="G6">
        <f>IF(Leilão!G6,Valores!$C3,0)</f>
        <v>0</v>
      </c>
      <c r="H6" s="8">
        <f>IF(Leilão!H6,Valores!$C3,0)</f>
        <v>0</v>
      </c>
    </row>
    <row r="7" spans="1:8" x14ac:dyDescent="0.25">
      <c r="A7" s="18">
        <v>3</v>
      </c>
      <c r="B7" s="7">
        <f>IF(Leilão!B7,Valores!$C4,0)</f>
        <v>0</v>
      </c>
      <c r="C7">
        <f>IF(Leilão!C7,Valores!$C4,0)</f>
        <v>0</v>
      </c>
      <c r="D7">
        <f>IF(Leilão!D7,Valores!$C4,0)</f>
        <v>0</v>
      </c>
      <c r="E7">
        <f>IF(Leilão!E7,Valores!$C4,0)</f>
        <v>0</v>
      </c>
      <c r="F7">
        <f>IF(Leilão!F7,Valores!$C4,0)</f>
        <v>0</v>
      </c>
      <c r="G7">
        <f>IF(Leilão!G7,Valores!$C4,0)</f>
        <v>0</v>
      </c>
      <c r="H7" s="8">
        <f>IF(Leilão!H7,Valores!$C4,0)</f>
        <v>0</v>
      </c>
    </row>
    <row r="8" spans="1:8" x14ac:dyDescent="0.25">
      <c r="A8" s="18">
        <v>4</v>
      </c>
      <c r="B8" s="7">
        <f>IF(Leilão!B8,Valores!$C5,0)</f>
        <v>0</v>
      </c>
      <c r="C8">
        <f>IF(Leilão!C8,Valores!$C5,0)</f>
        <v>0</v>
      </c>
      <c r="D8">
        <f>IF(Leilão!D8,Valores!$C5,0)</f>
        <v>0</v>
      </c>
      <c r="E8">
        <f>IF(Leilão!E8,Valores!$C5,0)</f>
        <v>0</v>
      </c>
      <c r="F8">
        <f>IF(Leilão!F8,Valores!$C5,0)</f>
        <v>0</v>
      </c>
      <c r="G8">
        <f>IF(Leilão!G8,Valores!$C5,0)</f>
        <v>0</v>
      </c>
      <c r="H8" s="8">
        <f>IF(Leilão!H8,Valores!$C5,0)</f>
        <v>0</v>
      </c>
    </row>
    <row r="9" spans="1:8" x14ac:dyDescent="0.25">
      <c r="A9" s="18">
        <v>5</v>
      </c>
      <c r="B9" s="7">
        <f>IF(Leilão!B9,Valores!$C6,0)</f>
        <v>0</v>
      </c>
      <c r="C9">
        <f>IF(Leilão!C9,Valores!$C6,0)</f>
        <v>0</v>
      </c>
      <c r="D9">
        <f>IF(Leilão!D9,Valores!$C6,0)</f>
        <v>0</v>
      </c>
      <c r="E9">
        <f>IF(Leilão!E9,Valores!$C6,0)</f>
        <v>0</v>
      </c>
      <c r="F9">
        <f>IF(Leilão!F9,Valores!$C6,0)</f>
        <v>0</v>
      </c>
      <c r="G9">
        <f>IF(Leilão!G9,Valores!$C6,0)</f>
        <v>0</v>
      </c>
      <c r="H9" s="8">
        <f>IF(Leilão!H9,Valores!$C6,0)</f>
        <v>0</v>
      </c>
    </row>
    <row r="10" spans="1:8" x14ac:dyDescent="0.25">
      <c r="A10" s="18">
        <v>6</v>
      </c>
      <c r="B10" s="7">
        <f>IF(Leilão!B10,Valores!$C7,0)</f>
        <v>0</v>
      </c>
      <c r="C10">
        <f>IF(Leilão!C10,Valores!$C7,0)</f>
        <v>0</v>
      </c>
      <c r="D10">
        <f>IF(Leilão!D10,Valores!$C7,0)</f>
        <v>0</v>
      </c>
      <c r="E10">
        <f>IF(Leilão!E10,Valores!$C7,0)</f>
        <v>0</v>
      </c>
      <c r="F10">
        <f>IF(Leilão!F10,Valores!$C7,0)</f>
        <v>0</v>
      </c>
      <c r="G10">
        <f>IF(Leilão!G10,Valores!$C7,0)</f>
        <v>0</v>
      </c>
      <c r="H10" s="8">
        <f>IF(Leilão!H10,Valores!$C7,0)</f>
        <v>0</v>
      </c>
    </row>
    <row r="11" spans="1:8" x14ac:dyDescent="0.25">
      <c r="A11" s="18">
        <v>7</v>
      </c>
      <c r="B11" s="7">
        <f>IF(Leilão!B11,Valores!$C8,0)</f>
        <v>0</v>
      </c>
      <c r="C11">
        <f>IF(Leilão!C11,Valores!$C8,0)</f>
        <v>0</v>
      </c>
      <c r="D11">
        <f>IF(Leilão!D11,Valores!$C8,0)</f>
        <v>0</v>
      </c>
      <c r="E11">
        <f>IF(Leilão!E11,Valores!$C8,0)</f>
        <v>0</v>
      </c>
      <c r="F11">
        <f>IF(Leilão!F11,Valores!$C8,0)</f>
        <v>0</v>
      </c>
      <c r="G11">
        <f>IF(Leilão!G11,Valores!$C8,0)</f>
        <v>0</v>
      </c>
      <c r="H11" s="8">
        <f>IF(Leilão!H11,Valores!$C8,0)</f>
        <v>0</v>
      </c>
    </row>
    <row r="12" spans="1:8" x14ac:dyDescent="0.25">
      <c r="A12" s="18">
        <v>8</v>
      </c>
      <c r="B12" s="7">
        <f>IF(Leilão!B12,Valores!$C9,0)</f>
        <v>0</v>
      </c>
      <c r="C12">
        <f>IF(Leilão!C12,Valores!$C9,0)</f>
        <v>0</v>
      </c>
      <c r="D12">
        <f>IF(Leilão!D12,Valores!$C9,0)</f>
        <v>0</v>
      </c>
      <c r="E12">
        <f>IF(Leilão!E12,Valores!$C9,0)</f>
        <v>0</v>
      </c>
      <c r="F12">
        <f>IF(Leilão!F12,Valores!$C9,0)</f>
        <v>0</v>
      </c>
      <c r="G12">
        <f>IF(Leilão!G12,Valores!$C9,0)</f>
        <v>0</v>
      </c>
      <c r="H12" s="8">
        <f>IF(Leilão!H12,Valores!$C9,0)</f>
        <v>0</v>
      </c>
    </row>
    <row r="13" spans="1:8" x14ac:dyDescent="0.25">
      <c r="A13" s="18">
        <v>9</v>
      </c>
      <c r="B13" s="7">
        <f>IF(Leilão!B13,Valores!$C10,0)</f>
        <v>0</v>
      </c>
      <c r="C13">
        <f>IF(Leilão!C13,Valores!$C10,0)</f>
        <v>0</v>
      </c>
      <c r="D13">
        <f>IF(Leilão!D13,Valores!$C10,0)</f>
        <v>0</v>
      </c>
      <c r="E13">
        <f>IF(Leilão!E13,Valores!$C10,0)</f>
        <v>0</v>
      </c>
      <c r="F13">
        <f>IF(Leilão!F13,Valores!$C10,0)</f>
        <v>0</v>
      </c>
      <c r="G13">
        <f>IF(Leilão!G13,Valores!$C10,0)</f>
        <v>0</v>
      </c>
      <c r="H13" s="8">
        <f>IF(Leilão!H13,Valores!$C10,0)</f>
        <v>0</v>
      </c>
    </row>
    <row r="14" spans="1:8" x14ac:dyDescent="0.25">
      <c r="A14" s="18">
        <v>10</v>
      </c>
      <c r="B14" s="7">
        <f>IF(Leilão!B14,Valores!$C11,0)</f>
        <v>0</v>
      </c>
      <c r="C14">
        <f>IF(Leilão!C14,Valores!$C11,0)</f>
        <v>0</v>
      </c>
      <c r="D14">
        <f>IF(Leilão!D14,Valores!$C11,0)</f>
        <v>0</v>
      </c>
      <c r="E14">
        <f>IF(Leilão!E14,Valores!$C11,0)</f>
        <v>0</v>
      </c>
      <c r="F14">
        <f>IF(Leilão!F14,Valores!$C11,0)</f>
        <v>0</v>
      </c>
      <c r="G14">
        <f>IF(Leilão!G14,Valores!$C11,0)</f>
        <v>0</v>
      </c>
      <c r="H14" s="8">
        <f>IF(Leilão!H14,Valores!$C11,0)</f>
        <v>0</v>
      </c>
    </row>
    <row r="15" spans="1:8" x14ac:dyDescent="0.25">
      <c r="A15" s="18">
        <v>11</v>
      </c>
      <c r="B15" s="7">
        <f>IF(Leilão!B15,Valores!$C12,0)</f>
        <v>0</v>
      </c>
      <c r="C15">
        <f>IF(Leilão!C15,Valores!$C12,0)</f>
        <v>0</v>
      </c>
      <c r="D15">
        <f>IF(Leilão!D15,Valores!$C12,0)</f>
        <v>0</v>
      </c>
      <c r="E15">
        <f>IF(Leilão!E15,Valores!$C12,0)</f>
        <v>0</v>
      </c>
      <c r="F15">
        <f>IF(Leilão!F15,Valores!$C12,0)</f>
        <v>0</v>
      </c>
      <c r="G15">
        <f>IF(Leilão!G15,Valores!$C12,0)</f>
        <v>0</v>
      </c>
      <c r="H15" s="8">
        <f>IF(Leilão!H15,Valores!$C12,0)</f>
        <v>0</v>
      </c>
    </row>
    <row r="16" spans="1:8" x14ac:dyDescent="0.25">
      <c r="A16" s="18">
        <v>12</v>
      </c>
      <c r="B16" s="7">
        <f>IF(Leilão!B16,Valores!$C13,0)</f>
        <v>0</v>
      </c>
      <c r="C16">
        <f>IF(Leilão!C16,Valores!$C13,0)</f>
        <v>0</v>
      </c>
      <c r="D16">
        <f>IF(Leilão!D16,Valores!$C13,0)</f>
        <v>0</v>
      </c>
      <c r="E16">
        <f>IF(Leilão!E16,Valores!$C13,0)</f>
        <v>0</v>
      </c>
      <c r="F16">
        <f>IF(Leilão!F16,Valores!$C13,0)</f>
        <v>0</v>
      </c>
      <c r="G16">
        <f>IF(Leilão!G16,Valores!$C13,0)</f>
        <v>0</v>
      </c>
      <c r="H16" s="8">
        <f>IF(Leilão!H16,Valores!$C13,0)</f>
        <v>0</v>
      </c>
    </row>
    <row r="17" spans="1:8" x14ac:dyDescent="0.25">
      <c r="A17" s="18">
        <v>13</v>
      </c>
      <c r="B17" s="7">
        <f>IF(Leilão!B17,Valores!$C14,0)</f>
        <v>0</v>
      </c>
      <c r="C17">
        <f>IF(Leilão!C17,Valores!$C14,0)</f>
        <v>0</v>
      </c>
      <c r="D17">
        <f>IF(Leilão!D17,Valores!$C14,0)</f>
        <v>0</v>
      </c>
      <c r="E17">
        <f>IF(Leilão!E17,Valores!$C14,0)</f>
        <v>0</v>
      </c>
      <c r="F17">
        <f>IF(Leilão!F17,Valores!$C14,0)</f>
        <v>0</v>
      </c>
      <c r="G17">
        <f>IF(Leilão!G17,Valores!$C14,0)</f>
        <v>0</v>
      </c>
      <c r="H17" s="8">
        <f>IF(Leilão!H17,Valores!$C14,0)</f>
        <v>0</v>
      </c>
    </row>
    <row r="18" spans="1:8" x14ac:dyDescent="0.25">
      <c r="A18" s="19">
        <v>14</v>
      </c>
      <c r="B18" s="9">
        <f>IF(Leilão!B18,Valores!$C15,0)</f>
        <v>0</v>
      </c>
      <c r="C18" s="10">
        <f>IF(Leilão!C18,Valores!$C15,0)</f>
        <v>0</v>
      </c>
      <c r="D18" s="10">
        <f>IF(Leilão!D18,Valores!$C15,0)</f>
        <v>0</v>
      </c>
      <c r="E18" s="10">
        <f>IF(Leilão!E18,Valores!$C15,0)</f>
        <v>0</v>
      </c>
      <c r="F18" s="10">
        <f>IF(Leilão!F18,Valores!$C15,0)</f>
        <v>0</v>
      </c>
      <c r="G18" s="10">
        <f>IF(Leilão!G18,Valores!$C15,0)</f>
        <v>0</v>
      </c>
      <c r="H18" s="11">
        <f>IF(Leilão!H18,Valores!$C15,0)</f>
        <v>0</v>
      </c>
    </row>
    <row r="20" spans="1:8" x14ac:dyDescent="0.25">
      <c r="A20" s="21"/>
      <c r="B20" s="22" t="str">
        <f>B4</f>
        <v>G1</v>
      </c>
      <c r="C20" s="22" t="str">
        <f t="shared" ref="C20:H20" si="0">C4</f>
        <v>G2</v>
      </c>
      <c r="D20" s="22" t="str">
        <f t="shared" si="0"/>
        <v>G3</v>
      </c>
      <c r="E20" s="22" t="str">
        <f t="shared" si="0"/>
        <v>G4</v>
      </c>
      <c r="F20" s="22" t="str">
        <f t="shared" si="0"/>
        <v>G5</v>
      </c>
      <c r="G20" s="22" t="str">
        <f t="shared" si="0"/>
        <v>G6</v>
      </c>
      <c r="H20" s="22" t="str">
        <f t="shared" si="0"/>
        <v>G7</v>
      </c>
    </row>
    <row r="21" spans="1:8" ht="15" customHeight="1" x14ac:dyDescent="0.25">
      <c r="A21" s="34" t="s">
        <v>24</v>
      </c>
      <c r="B21" s="35">
        <f>SUM(B$5:B$18)</f>
        <v>0</v>
      </c>
      <c r="C21" s="35">
        <f t="shared" ref="C21:H21" si="1">SUM(C$5:C$18)</f>
        <v>0</v>
      </c>
      <c r="D21" s="35">
        <f t="shared" si="1"/>
        <v>0</v>
      </c>
      <c r="E21" s="35">
        <f t="shared" si="1"/>
        <v>0</v>
      </c>
      <c r="F21" s="35">
        <f t="shared" si="1"/>
        <v>0</v>
      </c>
      <c r="G21" s="35">
        <f t="shared" si="1"/>
        <v>0</v>
      </c>
      <c r="H21" s="35">
        <f t="shared" si="1"/>
        <v>0</v>
      </c>
    </row>
    <row r="22" spans="1:8" ht="15" customHeight="1" x14ac:dyDescent="0.25">
      <c r="A22" s="34"/>
      <c r="B22" s="35"/>
      <c r="C22" s="35"/>
      <c r="D22" s="35"/>
      <c r="E22" s="35"/>
      <c r="F22" s="35"/>
      <c r="G22" s="35"/>
      <c r="H22" s="35"/>
    </row>
    <row r="42" spans="1:10" ht="15.75" thickBot="1" x14ac:dyDescent="0.3"/>
    <row r="43" spans="1:10" x14ac:dyDescent="0.25">
      <c r="A43" s="36" t="s">
        <v>26</v>
      </c>
      <c r="B43" s="37"/>
      <c r="C43" s="37"/>
      <c r="D43" s="37"/>
      <c r="E43" s="37"/>
      <c r="F43" s="42" t="str">
        <f>INDEX(B20:H20,MATCH(LARGE(B21:H21,1),B21:H21,0))</f>
        <v>G1</v>
      </c>
      <c r="G43" s="42"/>
      <c r="H43" s="42"/>
      <c r="I43" s="42"/>
      <c r="J43" s="43"/>
    </row>
    <row r="44" spans="1:10" x14ac:dyDescent="0.25">
      <c r="A44" s="38"/>
      <c r="B44" s="39"/>
      <c r="C44" s="39"/>
      <c r="D44" s="39"/>
      <c r="E44" s="39"/>
      <c r="F44" s="44"/>
      <c r="G44" s="44"/>
      <c r="H44" s="44"/>
      <c r="I44" s="44"/>
      <c r="J44" s="45"/>
    </row>
    <row r="45" spans="1:10" ht="15.75" thickBot="1" x14ac:dyDescent="0.3">
      <c r="A45" s="40"/>
      <c r="B45" s="41"/>
      <c r="C45" s="41"/>
      <c r="D45" s="41"/>
      <c r="E45" s="41"/>
      <c r="F45" s="46"/>
      <c r="G45" s="46"/>
      <c r="H45" s="46"/>
      <c r="I45" s="46"/>
      <c r="J45" s="47"/>
    </row>
  </sheetData>
  <mergeCells count="10">
    <mergeCell ref="H21:H22"/>
    <mergeCell ref="A43:E45"/>
    <mergeCell ref="F43:J45"/>
    <mergeCell ref="A21:A22"/>
    <mergeCell ref="B21:B22"/>
    <mergeCell ref="C21:C22"/>
    <mergeCell ref="D21:D22"/>
    <mergeCell ref="E21:E22"/>
    <mergeCell ref="F21:F22"/>
    <mergeCell ref="G21:G2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F23A1-4C94-42F0-8ACC-26F55B60F9E9}">
  <dimension ref="A1:F24"/>
  <sheetViews>
    <sheetView topLeftCell="A4" workbookViewId="0">
      <selection activeCell="C24" sqref="C24"/>
    </sheetView>
  </sheetViews>
  <sheetFormatPr defaultRowHeight="15" x14ac:dyDescent="0.25"/>
  <cols>
    <col min="2" max="2" width="37.140625" bestFit="1" customWidth="1"/>
    <col min="3" max="3" width="11.42578125" customWidth="1"/>
    <col min="4" max="4" width="15.7109375" bestFit="1" customWidth="1"/>
    <col min="5" max="5" width="32.42578125" bestFit="1" customWidth="1"/>
    <col min="6" max="6" width="38.42578125" bestFit="1" customWidth="1"/>
  </cols>
  <sheetData>
    <row r="1" spans="1:6" x14ac:dyDescent="0.25">
      <c r="B1" s="4" t="s">
        <v>0</v>
      </c>
      <c r="C1" s="4" t="s">
        <v>1</v>
      </c>
      <c r="D1" s="4" t="s">
        <v>25</v>
      </c>
      <c r="E1" s="4" t="s">
        <v>31</v>
      </c>
      <c r="F1" s="4" t="s">
        <v>32</v>
      </c>
    </row>
    <row r="2" spans="1:6" x14ac:dyDescent="0.25">
      <c r="A2" s="13">
        <v>1</v>
      </c>
      <c r="B2" s="5" t="s">
        <v>2</v>
      </c>
      <c r="C2" s="2">
        <v>2400</v>
      </c>
      <c r="D2" s="1">
        <v>800</v>
      </c>
      <c r="E2" s="3">
        <v>1400</v>
      </c>
      <c r="F2" s="1">
        <v>500</v>
      </c>
    </row>
    <row r="3" spans="1:6" x14ac:dyDescent="0.25">
      <c r="A3" s="13">
        <v>2</v>
      </c>
      <c r="B3" s="5" t="s">
        <v>8</v>
      </c>
      <c r="C3" s="2">
        <v>18000</v>
      </c>
      <c r="D3" s="3">
        <v>6000</v>
      </c>
      <c r="E3" s="3">
        <v>10000</v>
      </c>
      <c r="F3" s="3">
        <v>5000</v>
      </c>
    </row>
    <row r="4" spans="1:6" x14ac:dyDescent="0.25">
      <c r="A4" s="13">
        <v>3</v>
      </c>
      <c r="B4" s="1" t="s">
        <v>12</v>
      </c>
      <c r="C4" s="2">
        <v>18000</v>
      </c>
      <c r="D4" s="3">
        <v>6000</v>
      </c>
      <c r="E4" s="3">
        <v>10000</v>
      </c>
      <c r="F4" s="3">
        <v>4500</v>
      </c>
    </row>
    <row r="5" spans="1:6" x14ac:dyDescent="0.25">
      <c r="A5" s="13">
        <v>4</v>
      </c>
      <c r="B5" s="5" t="s">
        <v>4</v>
      </c>
      <c r="C5" s="2">
        <v>1200</v>
      </c>
      <c r="D5" s="1">
        <v>400</v>
      </c>
      <c r="E5" s="1">
        <v>700</v>
      </c>
      <c r="F5" s="1">
        <v>300</v>
      </c>
    </row>
    <row r="6" spans="1:6" x14ac:dyDescent="0.25">
      <c r="A6" s="13">
        <v>5</v>
      </c>
      <c r="B6" s="5" t="s">
        <v>5</v>
      </c>
      <c r="C6" s="2">
        <v>2000</v>
      </c>
      <c r="D6" s="1">
        <v>667</v>
      </c>
      <c r="E6" s="3">
        <v>1100</v>
      </c>
      <c r="F6" s="1">
        <v>500</v>
      </c>
    </row>
    <row r="7" spans="1:6" x14ac:dyDescent="0.25">
      <c r="A7" s="13">
        <v>6</v>
      </c>
      <c r="B7" s="5" t="s">
        <v>30</v>
      </c>
      <c r="C7" s="2">
        <v>11500</v>
      </c>
      <c r="D7" s="3">
        <v>3833</v>
      </c>
      <c r="E7" s="3">
        <v>6400</v>
      </c>
      <c r="F7" s="3">
        <v>1000</v>
      </c>
    </row>
    <row r="8" spans="1:6" x14ac:dyDescent="0.25">
      <c r="A8" s="13">
        <v>7</v>
      </c>
      <c r="B8" t="s">
        <v>20</v>
      </c>
      <c r="C8" s="2">
        <v>9000</v>
      </c>
      <c r="D8" s="3">
        <v>3000</v>
      </c>
      <c r="E8" s="3">
        <v>5000</v>
      </c>
      <c r="F8" s="3">
        <v>2400</v>
      </c>
    </row>
    <row r="9" spans="1:6" x14ac:dyDescent="0.25">
      <c r="A9" s="13">
        <v>8</v>
      </c>
      <c r="B9" s="5" t="s">
        <v>7</v>
      </c>
      <c r="C9" s="2">
        <v>18000</v>
      </c>
      <c r="D9" s="3">
        <v>6000</v>
      </c>
      <c r="E9" s="3">
        <v>10000</v>
      </c>
      <c r="F9" s="3">
        <v>4500</v>
      </c>
    </row>
    <row r="10" spans="1:6" x14ac:dyDescent="0.25">
      <c r="A10" s="13">
        <v>9</v>
      </c>
      <c r="B10" t="s">
        <v>11</v>
      </c>
      <c r="C10" s="2">
        <v>6000</v>
      </c>
      <c r="D10" s="3">
        <v>2000</v>
      </c>
      <c r="E10" s="3">
        <v>3300</v>
      </c>
      <c r="F10" s="3">
        <v>1500</v>
      </c>
    </row>
    <row r="11" spans="1:6" x14ac:dyDescent="0.25">
      <c r="A11" s="13">
        <v>10</v>
      </c>
      <c r="B11" s="5" t="s">
        <v>6</v>
      </c>
      <c r="C11" s="2">
        <v>6800</v>
      </c>
      <c r="D11" s="3">
        <v>2267</v>
      </c>
      <c r="E11" s="3">
        <v>3800</v>
      </c>
      <c r="F11" s="3">
        <v>1800</v>
      </c>
    </row>
    <row r="12" spans="1:6" x14ac:dyDescent="0.25">
      <c r="A12" s="13">
        <v>11</v>
      </c>
      <c r="B12" s="5" t="s">
        <v>9</v>
      </c>
      <c r="C12" s="2">
        <v>13000</v>
      </c>
      <c r="D12" s="3">
        <v>4333</v>
      </c>
      <c r="E12" s="3">
        <v>7200</v>
      </c>
      <c r="F12" s="3">
        <v>3500</v>
      </c>
    </row>
    <row r="13" spans="1:6" x14ac:dyDescent="0.25">
      <c r="A13" s="13">
        <v>12</v>
      </c>
      <c r="B13" s="5" t="s">
        <v>13</v>
      </c>
      <c r="C13" s="2">
        <v>6100</v>
      </c>
      <c r="D13" s="3">
        <v>2033</v>
      </c>
      <c r="E13" s="3">
        <v>3400</v>
      </c>
      <c r="F13" s="3">
        <v>1500</v>
      </c>
    </row>
    <row r="14" spans="1:6" x14ac:dyDescent="0.25">
      <c r="A14" s="13">
        <v>13</v>
      </c>
      <c r="B14" s="5" t="s">
        <v>3</v>
      </c>
      <c r="C14" s="2">
        <v>9450</v>
      </c>
      <c r="D14" s="3">
        <v>3150</v>
      </c>
      <c r="E14" s="3">
        <v>5300</v>
      </c>
      <c r="F14" s="3">
        <v>2500</v>
      </c>
    </row>
    <row r="15" spans="1:6" x14ac:dyDescent="0.25">
      <c r="A15" s="12">
        <v>14</v>
      </c>
      <c r="B15" s="1" t="s">
        <v>10</v>
      </c>
      <c r="C15" s="2">
        <v>6000</v>
      </c>
      <c r="D15" s="3">
        <v>2000</v>
      </c>
      <c r="E15" s="3">
        <v>3300</v>
      </c>
      <c r="F15" s="3">
        <v>1500</v>
      </c>
    </row>
    <row r="21" spans="3:5" x14ac:dyDescent="0.25">
      <c r="C21" s="2"/>
      <c r="E21" s="3"/>
    </row>
    <row r="22" spans="3:5" x14ac:dyDescent="0.25">
      <c r="C22" s="3"/>
      <c r="E22" s="3"/>
    </row>
    <row r="23" spans="3:5" x14ac:dyDescent="0.25">
      <c r="C23" s="3"/>
      <c r="E23" s="3"/>
    </row>
    <row r="24" spans="3:5" x14ac:dyDescent="0.25">
      <c r="C24" s="3"/>
    </row>
  </sheetData>
  <pageMargins left="0.511811024" right="0.511811024" top="0.78740157499999996" bottom="0.78740157499999996" header="0.31496062000000002" footer="0.31496062000000002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Leilão</vt:lpstr>
      <vt:lpstr>Resultado</vt:lpstr>
      <vt:lpstr>Valores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Higor Freitas</dc:creator>
  <cp:lastModifiedBy>Higor Freitas</cp:lastModifiedBy>
  <dcterms:created xsi:type="dcterms:W3CDTF">2025-06-08T15:10:00Z</dcterms:created>
  <dcterms:modified xsi:type="dcterms:W3CDTF">2025-06-09T16:26:42Z</dcterms:modified>
</cp:coreProperties>
</file>